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tit_rikkei\it1_cntt1\Session12\"/>
    </mc:Choice>
  </mc:AlternateContent>
  <xr:revisionPtr revIDLastSave="0" documentId="13_ncr:1_{917D3ACC-9FFA-496E-ABDC-36BBDB7D221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ảng tra cứu hoa hồng" sheetId="1" r:id="rId1"/>
    <sheet name="Danh sách nhà đấ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H8" i="2"/>
  <c r="G8" i="2"/>
  <c r="H7" i="2"/>
  <c r="G7" i="2"/>
  <c r="I7" i="2" s="1"/>
  <c r="H6" i="2"/>
  <c r="G6" i="2"/>
  <c r="I6" i="2" s="1"/>
  <c r="H5" i="2"/>
  <c r="G5" i="2"/>
  <c r="I5" i="2" s="1"/>
  <c r="H4" i="2"/>
  <c r="G4" i="2"/>
  <c r="I4" i="2" s="1"/>
  <c r="H3" i="2"/>
  <c r="G3" i="2"/>
  <c r="I3" i="2" s="1"/>
  <c r="H2" i="2"/>
  <c r="G2" i="2"/>
  <c r="I2" i="2" s="1"/>
  <c r="I8" i="2" l="1"/>
  <c r="G9" i="2"/>
  <c r="I9" i="2"/>
</calcChain>
</file>

<file path=xl/sharedStrings.xml><?xml version="1.0" encoding="utf-8"?>
<sst xmlns="http://schemas.openxmlformats.org/spreadsheetml/2006/main" count="44" uniqueCount="41">
  <si>
    <t>Phan_Tram_Hoa_Hong</t>
  </si>
  <si>
    <t>BRK-101</t>
  </si>
  <si>
    <t>Bất Động Sản Đất Việt</t>
  </si>
  <si>
    <t>BRK-102</t>
  </si>
  <si>
    <t>Môi Giới Nhà Phố Sài Gòn</t>
  </si>
  <si>
    <t>BRK-103</t>
  </si>
  <si>
    <t>Công ty Địa Ốc Nam Long</t>
  </si>
  <si>
    <t>BRK-104</t>
  </si>
  <si>
    <t>Sàn Giao Dịch Hưng Thịnh</t>
  </si>
  <si>
    <t>BRK-105</t>
  </si>
  <si>
    <t>Môi Giới Tự Do - Nguyễn Văn A</t>
  </si>
  <si>
    <t>STT</t>
  </si>
  <si>
    <t>Tien_Hoa_Hong_VND</t>
  </si>
  <si>
    <t>SH-001</t>
  </si>
  <si>
    <t>Căn hộ chung cư</t>
  </si>
  <si>
    <t xml:space="preserve"> BRK-101 </t>
  </si>
  <si>
    <t>SH-002</t>
  </si>
  <si>
    <t>Nhà phố nguyên căn</t>
  </si>
  <si>
    <t>SH-003</t>
  </si>
  <si>
    <t>Biệt thự sân vườn</t>
  </si>
  <si>
    <t xml:space="preserve"> BRK-103   </t>
  </si>
  <si>
    <t>SH-004</t>
  </si>
  <si>
    <t>Mặt bằng kinh doanh</t>
  </si>
  <si>
    <t>BRK-999</t>
  </si>
  <si>
    <t>SH-005</t>
  </si>
  <si>
    <t>Căn hộ Studio</t>
  </si>
  <si>
    <t>SH-006</t>
  </si>
  <si>
    <t>Nhà hẻm xe hơi</t>
  </si>
  <si>
    <t xml:space="preserve"> BRK-105 </t>
  </si>
  <si>
    <t>SH-007</t>
  </si>
  <si>
    <t>Căn hộ Penthouse</t>
  </si>
  <si>
    <t>TỔNG CỘNG</t>
  </si>
  <si>
    <t>Mã bất động sản</t>
  </si>
  <si>
    <t xml:space="preserve">Loại hình </t>
  </si>
  <si>
    <t>Raw_Mã môi giới</t>
  </si>
  <si>
    <t>Giá niêm yết_VND</t>
  </si>
  <si>
    <t>Tỷ lệ chiết khấu</t>
  </si>
  <si>
    <t>Giá thuê sau_CK_VND</t>
  </si>
  <si>
    <t>Mã môi giới</t>
  </si>
  <si>
    <t>Tên đối tác môi giới</t>
  </si>
  <si>
    <t>Phần trăm hoa hồng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</si>
</sst>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F14" sqref="F14"/>
    </sheetView>
  </sheetViews>
  <sheetFormatPr defaultRowHeight="14.5" x14ac:dyDescent="0.35"/>
  <cols>
    <col min="1" max="1" width="15.26953125" customWidth="1"/>
    <col min="2" max="2" width="30.1796875" customWidth="1"/>
    <col min="3" max="3" width="21.36328125" customWidth="1"/>
  </cols>
  <sheetData>
    <row r="1" spans="1:3" ht="24" customHeight="1" x14ac:dyDescent="0.35">
      <c r="A1" s="7" t="s">
        <v>38</v>
      </c>
      <c r="B1" s="7" t="s">
        <v>39</v>
      </c>
      <c r="C1" s="7" t="s">
        <v>40</v>
      </c>
    </row>
    <row r="2" spans="1:3" x14ac:dyDescent="0.35">
      <c r="A2" s="3" t="s">
        <v>1</v>
      </c>
      <c r="B2" s="4" t="s">
        <v>2</v>
      </c>
      <c r="C2" s="6">
        <v>0.03</v>
      </c>
    </row>
    <row r="3" spans="1:3" x14ac:dyDescent="0.35">
      <c r="A3" s="3" t="s">
        <v>3</v>
      </c>
      <c r="B3" s="4" t="s">
        <v>4</v>
      </c>
      <c r="C3" s="6">
        <v>2.5000000000000001E-2</v>
      </c>
    </row>
    <row r="4" spans="1:3" x14ac:dyDescent="0.35">
      <c r="A4" s="3" t="s">
        <v>5</v>
      </c>
      <c r="B4" s="4" t="s">
        <v>6</v>
      </c>
      <c r="C4" s="6">
        <v>3.5000000000000003E-2</v>
      </c>
    </row>
    <row r="5" spans="1:3" x14ac:dyDescent="0.35">
      <c r="A5" s="3" t="s">
        <v>7</v>
      </c>
      <c r="B5" s="4" t="s">
        <v>8</v>
      </c>
      <c r="C5" s="6">
        <v>0.02</v>
      </c>
    </row>
    <row r="6" spans="1:3" x14ac:dyDescent="0.35">
      <c r="A6" s="3" t="s">
        <v>9</v>
      </c>
      <c r="B6" s="4" t="s">
        <v>10</v>
      </c>
      <c r="C6" s="6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selection activeCell="H18" sqref="H18"/>
    </sheetView>
  </sheetViews>
  <sheetFormatPr defaultRowHeight="14.5" x14ac:dyDescent="0.35"/>
  <cols>
    <col min="1" max="1" width="6.08984375" customWidth="1"/>
    <col min="2" max="2" width="14.54296875" customWidth="1"/>
    <col min="3" max="3" width="19.6328125" customWidth="1"/>
    <col min="4" max="4" width="17.1796875" customWidth="1"/>
    <col min="5" max="5" width="16.54296875" customWidth="1"/>
    <col min="6" max="6" width="16.6328125" customWidth="1"/>
    <col min="7" max="7" width="21.36328125" customWidth="1"/>
    <col min="8" max="9" width="21" customWidth="1"/>
  </cols>
  <sheetData>
    <row r="1" spans="1:9" ht="24" customHeight="1" x14ac:dyDescent="0.35">
      <c r="A1" s="7" t="s">
        <v>11</v>
      </c>
      <c r="B1" s="7" t="s">
        <v>32</v>
      </c>
      <c r="C1" s="7" t="s">
        <v>33</v>
      </c>
      <c r="D1" s="7" t="s">
        <v>34</v>
      </c>
      <c r="E1" s="7" t="s">
        <v>35</v>
      </c>
      <c r="F1" s="7" t="s">
        <v>36</v>
      </c>
      <c r="G1" s="7" t="s">
        <v>37</v>
      </c>
      <c r="H1" s="7" t="s">
        <v>0</v>
      </c>
      <c r="I1" s="7" t="s">
        <v>12</v>
      </c>
    </row>
    <row r="2" spans="1:9" x14ac:dyDescent="0.35">
      <c r="A2" s="3">
        <v>1</v>
      </c>
      <c r="B2" s="3" t="s">
        <v>13</v>
      </c>
      <c r="C2" s="4" t="s">
        <v>14</v>
      </c>
      <c r="D2" s="3" t="s">
        <v>15</v>
      </c>
      <c r="E2" s="5">
        <v>15000000</v>
      </c>
      <c r="F2" s="6">
        <v>0.05</v>
      </c>
      <c r="G2" s="5">
        <f t="shared" ref="G2:G8" si="0">E2*(1-F2)</f>
        <v>14250000</v>
      </c>
      <c r="H2" s="6">
        <f>IFERROR(VLOOKUP(TRIM(D2), 'Bảng tra cứu hoa hồng'!$A$2:$C$6, 3, FALSE), 0)</f>
        <v>0.03</v>
      </c>
      <c r="I2" s="5">
        <f t="shared" ref="I2:I8" si="1">G2*H2</f>
        <v>427500</v>
      </c>
    </row>
    <row r="3" spans="1:9" x14ac:dyDescent="0.35">
      <c r="A3" s="3">
        <v>2</v>
      </c>
      <c r="B3" s="3" t="s">
        <v>16</v>
      </c>
      <c r="C3" s="4" t="s">
        <v>17</v>
      </c>
      <c r="D3" s="3" t="s">
        <v>3</v>
      </c>
      <c r="E3" s="5">
        <v>28000000</v>
      </c>
      <c r="F3" s="6">
        <v>0.1</v>
      </c>
      <c r="G3" s="5">
        <f t="shared" si="0"/>
        <v>25200000</v>
      </c>
      <c r="H3" s="6">
        <f>IFERROR(VLOOKUP(TRIM(D3), 'Bảng tra cứu hoa hồng'!$A$2:$C$6, 3, FALSE), 0)</f>
        <v>2.5000000000000001E-2</v>
      </c>
      <c r="I3" s="5">
        <f t="shared" si="1"/>
        <v>630000</v>
      </c>
    </row>
    <row r="4" spans="1:9" x14ac:dyDescent="0.35">
      <c r="A4" s="3">
        <v>3</v>
      </c>
      <c r="B4" s="3" t="s">
        <v>18</v>
      </c>
      <c r="C4" s="4" t="s">
        <v>19</v>
      </c>
      <c r="D4" s="3" t="s">
        <v>20</v>
      </c>
      <c r="E4" s="5">
        <v>65000000</v>
      </c>
      <c r="F4" s="6">
        <v>0.08</v>
      </c>
      <c r="G4" s="5">
        <f t="shared" si="0"/>
        <v>59800000</v>
      </c>
      <c r="H4" s="6">
        <f>IFERROR(VLOOKUP(TRIM(D4), 'Bảng tra cứu hoa hồng'!$A$2:$C$6, 3, FALSE), 0)</f>
        <v>3.5000000000000003E-2</v>
      </c>
      <c r="I4" s="5">
        <f t="shared" si="1"/>
        <v>2093000.0000000002</v>
      </c>
    </row>
    <row r="5" spans="1:9" x14ac:dyDescent="0.35">
      <c r="A5" s="3">
        <v>4</v>
      </c>
      <c r="B5" s="3" t="s">
        <v>21</v>
      </c>
      <c r="C5" s="4" t="s">
        <v>22</v>
      </c>
      <c r="D5" s="3" t="s">
        <v>23</v>
      </c>
      <c r="E5" s="5">
        <v>40000000</v>
      </c>
      <c r="F5" s="6">
        <v>0</v>
      </c>
      <c r="G5" s="5">
        <f t="shared" si="0"/>
        <v>40000000</v>
      </c>
      <c r="H5" s="6">
        <f>IFERROR(VLOOKUP(TRIM(D5), 'Bảng tra cứu hoa hồng'!$A$2:$C$6, 3, FALSE), 0)</f>
        <v>0</v>
      </c>
      <c r="I5" s="5">
        <f t="shared" si="1"/>
        <v>0</v>
      </c>
    </row>
    <row r="6" spans="1:9" x14ac:dyDescent="0.35">
      <c r="A6" s="3">
        <v>5</v>
      </c>
      <c r="B6" s="3" t="s">
        <v>24</v>
      </c>
      <c r="C6" s="4" t="s">
        <v>25</v>
      </c>
      <c r="D6" s="3" t="s">
        <v>7</v>
      </c>
      <c r="E6" s="5">
        <v>9500000</v>
      </c>
      <c r="F6" s="6">
        <v>0.05</v>
      </c>
      <c r="G6" s="5">
        <f t="shared" si="0"/>
        <v>9025000</v>
      </c>
      <c r="H6" s="6">
        <f>IFERROR(VLOOKUP(TRIM(D6), 'Bảng tra cứu hoa hồng'!$A$2:$C$6, 3, FALSE), 0)</f>
        <v>0.02</v>
      </c>
      <c r="I6" s="5">
        <f t="shared" si="1"/>
        <v>180500</v>
      </c>
    </row>
    <row r="7" spans="1:9" x14ac:dyDescent="0.35">
      <c r="A7" s="3">
        <v>6</v>
      </c>
      <c r="B7" s="3" t="s">
        <v>26</v>
      </c>
      <c r="C7" s="4" t="s">
        <v>27</v>
      </c>
      <c r="D7" s="3" t="s">
        <v>28</v>
      </c>
      <c r="E7" s="5">
        <v>18000000</v>
      </c>
      <c r="F7" s="6">
        <v>0</v>
      </c>
      <c r="G7" s="5">
        <f t="shared" si="0"/>
        <v>18000000</v>
      </c>
      <c r="H7" s="6">
        <f>IFERROR(VLOOKUP(TRIM(D7), 'Bảng tra cứu hoa hồng'!$A$2:$C$6, 3, FALSE), 0)</f>
        <v>0.04</v>
      </c>
      <c r="I7" s="5">
        <f t="shared" si="1"/>
        <v>720000</v>
      </c>
    </row>
    <row r="8" spans="1:9" x14ac:dyDescent="0.35">
      <c r="A8" s="3">
        <v>7</v>
      </c>
      <c r="B8" s="3" t="s">
        <v>29</v>
      </c>
      <c r="C8" s="4" t="s">
        <v>30</v>
      </c>
      <c r="D8" s="3" t="s">
        <v>1</v>
      </c>
      <c r="E8" s="5">
        <v>80000000</v>
      </c>
      <c r="F8" s="6">
        <v>0.12</v>
      </c>
      <c r="G8" s="5">
        <f t="shared" si="0"/>
        <v>70400000</v>
      </c>
      <c r="H8" s="6">
        <f>IFERROR(VLOOKUP(TRIM(D8), 'Bảng tra cứu hoa hồng'!$A$2:$C$6, 3, FALSE), 0)</f>
        <v>0.03</v>
      </c>
      <c r="I8" s="5">
        <f t="shared" si="1"/>
        <v>2112000</v>
      </c>
    </row>
    <row r="9" spans="1:9" x14ac:dyDescent="0.35">
      <c r="A9" s="1" t="s">
        <v>31</v>
      </c>
      <c r="E9" s="2">
        <f>SUM(E2:E8)</f>
        <v>255500000</v>
      </c>
      <c r="G9" s="2">
        <f>SUM(G2:G8)</f>
        <v>236675000</v>
      </c>
      <c r="I9" s="2">
        <f>SUM(I2:I8)</f>
        <v>6163000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Bảng tra cứu hoa hồng</vt:lpstr>
      <vt:lpstr>Danh sách nhà đất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Ngoc Huyen</cp:lastModifiedBy>
  <dcterms:created xsi:type="dcterms:W3CDTF">2026-10-26T15:09:40Z</dcterms:created>
  <dcterms:modified xsi:type="dcterms:W3CDTF">2026-10-26T15:44:29Z</dcterms:modified>
</cp:coreProperties>
</file>